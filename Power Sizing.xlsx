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(C)\Engineering\6.Senior 1\Semester 8\Design of MCT (2)\Week13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H6" i="1"/>
  <c r="B6" i="2"/>
  <c r="B4" i="2"/>
  <c r="B3" i="2"/>
  <c r="D5" i="1"/>
  <c r="D2" i="1"/>
  <c r="B6" i="1"/>
  <c r="B4" i="1"/>
  <c r="D4" i="1" s="1"/>
  <c r="B3" i="1"/>
  <c r="B8" i="1" s="1"/>
  <c r="D3" i="1" l="1"/>
  <c r="D8" i="1" s="1"/>
  <c r="H3" i="1" l="1"/>
  <c r="H2" i="1"/>
</calcChain>
</file>

<file path=xl/sharedStrings.xml><?xml version="1.0" encoding="utf-8"?>
<sst xmlns="http://schemas.openxmlformats.org/spreadsheetml/2006/main" count="34" uniqueCount="24">
  <si>
    <t>Components</t>
  </si>
  <si>
    <t>Voltage</t>
  </si>
  <si>
    <t>Motors</t>
  </si>
  <si>
    <t>Ultrasonic</t>
  </si>
  <si>
    <t>Water Sensor</t>
  </si>
  <si>
    <t>IMU</t>
  </si>
  <si>
    <t>DC Chopper</t>
  </si>
  <si>
    <t>AC - DC Converter</t>
  </si>
  <si>
    <t>Current (Ampere)</t>
  </si>
  <si>
    <t>Filter Pump</t>
  </si>
  <si>
    <t>Power (Watt)</t>
  </si>
  <si>
    <t>Total Current Dissipated</t>
  </si>
  <si>
    <t>Effeciency</t>
  </si>
  <si>
    <t>Total Power Loss</t>
  </si>
  <si>
    <t xml:space="preserve">Total Power Consumed </t>
  </si>
  <si>
    <t>Current (Amperes)</t>
  </si>
  <si>
    <t>Distance (feet)</t>
  </si>
  <si>
    <t>Componenets</t>
  </si>
  <si>
    <t>Wire Diameter (mil)</t>
  </si>
  <si>
    <t>Resistivity(ohm)</t>
  </si>
  <si>
    <t>1.68 *10^-8</t>
  </si>
  <si>
    <t>Wires</t>
  </si>
  <si>
    <t>Power Loss(Watt)</t>
  </si>
  <si>
    <t>Total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</si>
</sst>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0.000"/>
    <numFmt numFmtId="170" formatCode="0.0"/>
  </numFmts>
  <fonts count="5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5" borderId="1" xfId="0" applyFont="1" applyFill="1" applyBorder="1"/>
    <xf numFmtId="0" fontId="3" fillId="7" borderId="1" xfId="0" applyFont="1" applyFill="1" applyBorder="1"/>
    <xf numFmtId="0" fontId="4" fillId="0" borderId="0" xfId="0" applyFont="1"/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4" borderId="0" xfId="0" applyFont="1" applyFill="1" applyBorder="1" applyAlignment="1">
      <alignment horizontal="center"/>
    </xf>
    <xf numFmtId="9" fontId="2" fillId="4" borderId="0" xfId="0" applyNumberFormat="1" applyFont="1" applyFill="1" applyBorder="1" applyAlignment="1">
      <alignment horizontal="center"/>
    </xf>
    <xf numFmtId="9" fontId="2" fillId="9" borderId="0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70" fontId="2" fillId="6" borderId="0" xfId="0" applyNumberFormat="1" applyFont="1" applyFill="1" applyAlignment="1">
      <alignment horizontal="center"/>
    </xf>
    <xf numFmtId="169" fontId="3" fillId="7" borderId="1" xfId="0" applyNumberFormat="1" applyFont="1" applyFill="1" applyBorder="1" applyAlignment="1">
      <alignment horizontal="center"/>
    </xf>
    <xf numFmtId="2" fontId="3" fillId="8" borderId="1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center"/>
    </xf>
    <xf numFmtId="170" fontId="0" fillId="10" borderId="0" xfId="0" applyNumberFormat="1" applyFill="1" applyAlignment="1">
      <alignment horizontal="center"/>
    </xf>
    <xf numFmtId="1" fontId="1" fillId="11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D12" sqref="D12"/>
    </sheetView>
  </sheetViews>
  <sheetFormatPr defaultRowHeight="14.4" x14ac:dyDescent="0.3"/>
  <cols>
    <col min="1" max="1" width="27.109375" customWidth="1"/>
    <col min="2" max="2" width="30.5546875" customWidth="1"/>
    <col min="3" max="3" width="21.6640625" customWidth="1"/>
    <col min="4" max="4" width="23.33203125" customWidth="1"/>
    <col min="6" max="6" width="28.33203125" customWidth="1"/>
    <col min="7" max="7" width="16" customWidth="1"/>
    <col min="8" max="8" width="20.77734375" customWidth="1"/>
  </cols>
  <sheetData>
    <row r="1" spans="1:8" ht="18" x14ac:dyDescent="0.35">
      <c r="A1" s="4" t="s">
        <v>0</v>
      </c>
      <c r="B1" s="5" t="s">
        <v>8</v>
      </c>
      <c r="C1" s="6" t="s">
        <v>1</v>
      </c>
      <c r="D1" s="7" t="s">
        <v>10</v>
      </c>
      <c r="E1" s="3"/>
      <c r="F1" s="12" t="s">
        <v>0</v>
      </c>
      <c r="G1" s="12" t="s">
        <v>12</v>
      </c>
      <c r="H1" s="12" t="s">
        <v>22</v>
      </c>
    </row>
    <row r="2" spans="1:8" ht="15.6" x14ac:dyDescent="0.3">
      <c r="A2" s="17" t="s">
        <v>2</v>
      </c>
      <c r="B2" s="20">
        <v>4</v>
      </c>
      <c r="C2" s="8">
        <v>12</v>
      </c>
      <c r="D2" s="21">
        <f>B2*C2</f>
        <v>48</v>
      </c>
      <c r="F2" s="18" t="s">
        <v>7</v>
      </c>
      <c r="G2" s="13">
        <v>0.8</v>
      </c>
      <c r="H2" s="22">
        <f>D8*20/100</f>
        <v>15.638900000000001</v>
      </c>
    </row>
    <row r="3" spans="1:8" ht="15.6" x14ac:dyDescent="0.3">
      <c r="A3" s="17" t="s">
        <v>3</v>
      </c>
      <c r="B3" s="20">
        <f>15*10^-3</f>
        <v>1.4999999999999999E-2</v>
      </c>
      <c r="C3" s="8">
        <v>5</v>
      </c>
      <c r="D3" s="21">
        <f t="shared" ref="D3:D5" si="0">B3*C3</f>
        <v>7.4999999999999997E-2</v>
      </c>
      <c r="F3" s="18" t="s">
        <v>6</v>
      </c>
      <c r="G3" s="13">
        <v>0.96</v>
      </c>
      <c r="H3" s="22">
        <f>D8*4/100</f>
        <v>3.12778</v>
      </c>
    </row>
    <row r="4" spans="1:8" ht="15.6" x14ac:dyDescent="0.3">
      <c r="A4" s="17" t="s">
        <v>4</v>
      </c>
      <c r="B4" s="20">
        <f>20*10^-3</f>
        <v>0.02</v>
      </c>
      <c r="C4" s="8">
        <v>5</v>
      </c>
      <c r="D4" s="21">
        <f t="shared" si="0"/>
        <v>0.1</v>
      </c>
      <c r="F4" s="18" t="s">
        <v>21</v>
      </c>
      <c r="G4" s="14"/>
      <c r="H4" s="22">
        <v>6</v>
      </c>
    </row>
    <row r="5" spans="1:8" ht="15.6" x14ac:dyDescent="0.3">
      <c r="A5" s="17" t="s">
        <v>5</v>
      </c>
      <c r="B5" s="20">
        <v>3.8999999999999998E-3</v>
      </c>
      <c r="C5" s="8">
        <v>5</v>
      </c>
      <c r="D5" s="21">
        <f t="shared" si="0"/>
        <v>1.95E-2</v>
      </c>
      <c r="F5" s="9"/>
      <c r="G5" s="9"/>
      <c r="H5" s="9"/>
    </row>
    <row r="6" spans="1:8" ht="15.6" x14ac:dyDescent="0.3">
      <c r="A6" s="17" t="s">
        <v>9</v>
      </c>
      <c r="B6" s="20">
        <f>30/220</f>
        <v>0.13636363636363635</v>
      </c>
      <c r="C6" s="8">
        <v>220</v>
      </c>
      <c r="D6" s="21">
        <v>30</v>
      </c>
      <c r="F6" s="9"/>
      <c r="G6" s="15" t="s">
        <v>13</v>
      </c>
      <c r="H6" s="23">
        <f>H2+H3+H4</f>
        <v>24.766680000000001</v>
      </c>
    </row>
    <row r="7" spans="1:8" x14ac:dyDescent="0.3">
      <c r="A7" s="9"/>
      <c r="B7" s="9"/>
      <c r="C7" s="9"/>
      <c r="D7" s="9"/>
      <c r="F7" s="9"/>
      <c r="G7" s="9"/>
      <c r="H7" s="9"/>
    </row>
    <row r="8" spans="1:8" ht="18" x14ac:dyDescent="0.35">
      <c r="A8" s="10" t="s">
        <v>11</v>
      </c>
      <c r="B8" s="19">
        <f>B2+B3+B4+B5+B6</f>
        <v>4.1752636363636357</v>
      </c>
      <c r="C8" s="11" t="s">
        <v>23</v>
      </c>
      <c r="D8" s="25">
        <f>D2+D3+D4+D5+D6</f>
        <v>78.194500000000005</v>
      </c>
      <c r="F8" s="16" t="s">
        <v>14</v>
      </c>
      <c r="G8" s="24">
        <f>D8+H6</f>
        <v>102.96118000000001</v>
      </c>
      <c r="H8" s="9"/>
    </row>
    <row r="9" spans="1:8" x14ac:dyDescent="0.3">
      <c r="F9" s="9"/>
      <c r="G9" s="9"/>
      <c r="H9" s="9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2" sqref="E2"/>
    </sheetView>
  </sheetViews>
  <sheetFormatPr defaultRowHeight="14.4" x14ac:dyDescent="0.3"/>
  <cols>
    <col min="1" max="1" width="17" customWidth="1"/>
    <col min="2" max="2" width="17.44140625" customWidth="1"/>
    <col min="3" max="3" width="14.33203125" customWidth="1"/>
    <col min="4" max="4" width="13.77734375" customWidth="1"/>
    <col min="5" max="5" width="19.33203125" customWidth="1"/>
  </cols>
  <sheetData>
    <row r="1" spans="1:5" x14ac:dyDescent="0.3">
      <c r="A1" t="s">
        <v>17</v>
      </c>
      <c r="B1" t="s">
        <v>15</v>
      </c>
      <c r="C1" t="s">
        <v>16</v>
      </c>
      <c r="D1" t="s">
        <v>19</v>
      </c>
      <c r="E1" t="s">
        <v>18</v>
      </c>
    </row>
    <row r="2" spans="1:5" ht="15.6" x14ac:dyDescent="0.3">
      <c r="A2" s="1" t="s">
        <v>2</v>
      </c>
      <c r="B2" s="2">
        <v>4</v>
      </c>
      <c r="C2">
        <v>5</v>
      </c>
      <c r="D2" t="s">
        <v>20</v>
      </c>
    </row>
    <row r="3" spans="1:5" ht="15.6" x14ac:dyDescent="0.3">
      <c r="A3" s="1" t="s">
        <v>3</v>
      </c>
      <c r="B3" s="2">
        <f>15*10^-3</f>
        <v>1.4999999999999999E-2</v>
      </c>
      <c r="C3">
        <v>5</v>
      </c>
      <c r="D3" t="s">
        <v>20</v>
      </c>
    </row>
    <row r="4" spans="1:5" ht="15.6" x14ac:dyDescent="0.3">
      <c r="A4" s="1" t="s">
        <v>4</v>
      </c>
      <c r="B4" s="2">
        <f>20*10^-3</f>
        <v>0.02</v>
      </c>
      <c r="C4">
        <v>5</v>
      </c>
      <c r="D4" t="s">
        <v>20</v>
      </c>
    </row>
    <row r="5" spans="1:5" ht="15.6" x14ac:dyDescent="0.3">
      <c r="A5" s="1" t="s">
        <v>5</v>
      </c>
      <c r="B5" s="2">
        <v>3.8999999999999998E-3</v>
      </c>
      <c r="C5">
        <v>5</v>
      </c>
      <c r="D5" t="s">
        <v>20</v>
      </c>
    </row>
    <row r="6" spans="1:5" ht="15.6" x14ac:dyDescent="0.3">
      <c r="A6" s="1" t="s">
        <v>9</v>
      </c>
      <c r="B6" s="2">
        <f>30/220</f>
        <v>0.13636363636363635</v>
      </c>
      <c r="C6">
        <v>5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2019-05-08T13:04:41Z</dcterms:created>
  <dcterms:modified xsi:type="dcterms:W3CDTF">2019-05-17T19:58:19Z</dcterms:modified>
</cp:coreProperties>
</file>